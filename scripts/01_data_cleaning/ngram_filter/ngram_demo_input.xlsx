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yatingguo/Downloads/"/>
    </mc:Choice>
  </mc:AlternateContent>
  <xr:revisionPtr revIDLastSave="0" documentId="8_{676A27D4-521C-094F-A835-A83A269B6F03}" xr6:coauthVersionLast="47" xr6:coauthVersionMax="47" xr10:uidLastSave="{00000000-0000-0000-0000-000000000000}"/>
  <bookViews>
    <workbookView xWindow="8700" yWindow="4620" windowWidth="27240" windowHeight="16440" xr2:uid="{5665D559-633B-DC43-AADD-CE40EAF2A46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11" i="1" l="1"/>
  <c r="K11" i="1"/>
  <c r="J11" i="1"/>
  <c r="I11" i="1"/>
  <c r="H11" i="1"/>
  <c r="G11" i="1"/>
  <c r="F11" i="1"/>
  <c r="E11" i="1"/>
  <c r="D11" i="1"/>
  <c r="C11" i="1"/>
  <c r="B11" i="1"/>
  <c r="L10" i="1"/>
  <c r="K10" i="1"/>
  <c r="J10" i="1"/>
  <c r="I10" i="1"/>
  <c r="H10" i="1"/>
  <c r="G10" i="1"/>
  <c r="F10" i="1"/>
  <c r="E10" i="1"/>
  <c r="D10" i="1"/>
  <c r="C10" i="1"/>
  <c r="B10" i="1"/>
  <c r="L9" i="1"/>
  <c r="K9" i="1"/>
  <c r="J9" i="1"/>
  <c r="I9" i="1"/>
  <c r="H9" i="1"/>
  <c r="G9" i="1"/>
  <c r="F9" i="1"/>
  <c r="E9" i="1"/>
  <c r="D9" i="1"/>
  <c r="C9" i="1"/>
  <c r="B9" i="1"/>
  <c r="L8" i="1"/>
  <c r="K8" i="1"/>
  <c r="J8" i="1"/>
  <c r="I8" i="1"/>
  <c r="H8" i="1"/>
  <c r="G8" i="1"/>
  <c r="F8" i="1"/>
  <c r="E8" i="1"/>
  <c r="D8" i="1"/>
  <c r="C8" i="1"/>
  <c r="B8" i="1"/>
  <c r="L7" i="1"/>
  <c r="K7" i="1"/>
  <c r="J7" i="1"/>
  <c r="I7" i="1"/>
  <c r="H7" i="1"/>
  <c r="G7" i="1"/>
  <c r="F7" i="1"/>
  <c r="E7" i="1"/>
  <c r="D7" i="1"/>
  <c r="C7" i="1"/>
  <c r="B7" i="1"/>
  <c r="L6" i="1"/>
  <c r="K6" i="1"/>
  <c r="J6" i="1"/>
  <c r="I6" i="1"/>
  <c r="H6" i="1"/>
  <c r="G6" i="1"/>
  <c r="F6" i="1"/>
  <c r="E6" i="1"/>
  <c r="D6" i="1"/>
  <c r="C6" i="1"/>
  <c r="B6" i="1"/>
  <c r="L5" i="1"/>
  <c r="K5" i="1"/>
  <c r="J5" i="1"/>
  <c r="I5" i="1"/>
  <c r="H5" i="1"/>
  <c r="G5" i="1"/>
  <c r="F5" i="1"/>
  <c r="E5" i="1"/>
  <c r="D5" i="1"/>
  <c r="C5" i="1"/>
  <c r="B5" i="1"/>
  <c r="L4" i="1"/>
  <c r="K4" i="1"/>
  <c r="J4" i="1"/>
  <c r="I4" i="1"/>
  <c r="H4" i="1"/>
  <c r="G4" i="1"/>
  <c r="F4" i="1"/>
  <c r="E4" i="1"/>
  <c r="D4" i="1"/>
  <c r="C4" i="1"/>
  <c r="B4" i="1"/>
  <c r="L3" i="1"/>
  <c r="K3" i="1"/>
  <c r="J3" i="1"/>
  <c r="I3" i="1"/>
  <c r="H3" i="1"/>
  <c r="G3" i="1"/>
  <c r="F3" i="1"/>
  <c r="E3" i="1"/>
  <c r="D3" i="1"/>
  <c r="C3" i="1"/>
  <c r="B3" i="1"/>
  <c r="L2" i="1"/>
  <c r="K2" i="1"/>
  <c r="J2" i="1"/>
  <c r="I2" i="1"/>
  <c r="H2" i="1"/>
  <c r="G2" i="1"/>
  <c r="F2" i="1"/>
  <c r="E2" i="1"/>
  <c r="D2" i="1"/>
  <c r="C2" i="1"/>
  <c r="B2" i="1"/>
  <c r="L1" i="1"/>
  <c r="K1" i="1"/>
  <c r="J1" i="1"/>
  <c r="I1" i="1"/>
  <c r="H1" i="1"/>
  <c r="G1" i="1"/>
  <c r="F1" i="1"/>
  <c r="E1" i="1"/>
  <c r="D1" i="1"/>
  <c r="C1" i="1"/>
  <c r="B1" i="1"/>
</calcChain>
</file>

<file path=xl/sharedStrings.xml><?xml version="1.0" encoding="utf-8"?>
<sst xmlns="http://schemas.openxmlformats.org/spreadsheetml/2006/main" count="1" uniqueCount="1">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</sst>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2FFD7-4DC4-E240-950C-EF9D94A3F0AA}">
  <dimension ref="A1:L11"/>
  <sheetViews>
    <sheetView tabSelected="1" workbookViewId="0">
      <selection activeCell="B6" sqref="B6"/>
    </sheetView>
  </sheetViews>
  <sheetFormatPr baseColWidth="10" defaultRowHeight="16" x14ac:dyDescent="0.2"/>
  <sheetData>
    <row r="1" spans="1:12" s="1" customFormat="1" x14ac:dyDescent="0.2">
      <c r="A1" s="1" t="s">
        <v>0</v>
      </c>
      <c r="B1" s="1" t="str">
        <f>"data_type"</f>
        <v>data_type</v>
      </c>
      <c r="C1" s="1" t="str">
        <f>"統一編號"</f>
        <v>統一編號</v>
      </c>
      <c r="D1" s="1" t="str">
        <f>"統一編號"</f>
        <v>統一編號</v>
      </c>
      <c r="E1" s="1" t="str">
        <f>"文獻編號"</f>
        <v>文獻編號</v>
      </c>
      <c r="F1" s="1" t="str">
        <f>"文獻類別"</f>
        <v>文獻類別</v>
      </c>
      <c r="G1" s="1" t="str">
        <f>"題名"</f>
        <v>題名</v>
      </c>
      <c r="H1" s="1" t="str">
        <f>"摘要"</f>
        <v>摘要</v>
      </c>
      <c r="I1" s="1" t="str">
        <f>"日期資訊"</f>
        <v>日期資訊</v>
      </c>
      <c r="J1" s="1" t="str">
        <f>"產生者"</f>
        <v>產生者</v>
      </c>
      <c r="K1" s="1" t="str">
        <f>"官職"</f>
        <v>官職</v>
      </c>
      <c r="L1" s="1" t="str">
        <f>"NPMIIIF影像資源服務"</f>
        <v>NPMIIIF影像資源服務</v>
      </c>
    </row>
    <row r="2" spans="1:12" s="1" customFormat="1" x14ac:dyDescent="0.2">
      <c r="A2" s="1">
        <v>1</v>
      </c>
      <c r="B2" s="1" t="str">
        <f t="shared" ref="B2:B11" si="0">"件"</f>
        <v>件</v>
      </c>
      <c r="C2" s="1" t="str">
        <f>"K4E000004"</f>
        <v>K4E000004</v>
      </c>
      <c r="D2" s="1" t="str">
        <f>"故機000004"</f>
        <v>故機000004</v>
      </c>
      <c r="E2" s="1" t="str">
        <f>"000004"</f>
        <v>000004</v>
      </c>
      <c r="F2" s="1" t="str">
        <f t="shared" ref="F2:F11" si="1">"軍機處檔摺件/乾隆朝"</f>
        <v>軍機處檔摺件/乾隆朝</v>
      </c>
      <c r="G2" s="1" t="str">
        <f t="shared" ref="G2:G11" si="2">""</f>
        <v/>
      </c>
      <c r="H2" s="1" t="str">
        <f>"奏報陛辭南行已抵浙垣沿途民物康阜堪慰宸衷現擬駐浙調閱營伍察看海塘約下月初旬方能抵閩"</f>
        <v>奏報陛辭南行已抵浙垣沿途民物康阜堪慰宸衷現擬駐浙調閱營伍察看海塘約下月初旬方能抵閩</v>
      </c>
      <c r="I2" s="1" t="str">
        <f>"乾隆11年12月27日"</f>
        <v>乾隆11年12月27日</v>
      </c>
      <c r="J2" s="1" t="str">
        <f>"喀爾吉善"</f>
        <v>喀爾吉善</v>
      </c>
      <c r="K2" s="1" t="str">
        <f>"閩浙總督"</f>
        <v>閩浙總督</v>
      </c>
      <c r="L2" s="1" t="str">
        <f>"https://qingarchives.npm.edu.tw/index.php?act=Opendata/npmiiif/K4E000004"</f>
        <v>https://qingarchives.npm.edu.tw/index.php?act=Opendata/npmiiif/K4E000004</v>
      </c>
    </row>
    <row r="3" spans="1:12" s="1" customFormat="1" x14ac:dyDescent="0.2">
      <c r="A3" s="1">
        <v>2</v>
      </c>
      <c r="B3" s="1" t="str">
        <f t="shared" si="0"/>
        <v>件</v>
      </c>
      <c r="C3" s="1" t="str">
        <f>"K4E000111"</f>
        <v>K4E000111</v>
      </c>
      <c r="D3" s="1" t="str">
        <f>"故機000111"</f>
        <v>故機000111</v>
      </c>
      <c r="E3" s="1" t="str">
        <f>"000111"</f>
        <v>000111</v>
      </c>
      <c r="F3" s="1" t="str">
        <f t="shared" si="1"/>
        <v>軍機處檔摺件/乾隆朝</v>
      </c>
      <c r="G3" s="1" t="str">
        <f t="shared" si="2"/>
        <v/>
      </c>
      <c r="H3" s="1" t="str">
        <f>"奏為遵旨扣撥養廉銀兩開濬省城南湖港事"</f>
        <v>奏為遵旨扣撥養廉銀兩開濬省城南湖港事</v>
      </c>
      <c r="I3" s="1" t="str">
        <f>"乾隆12年01月26日"</f>
        <v>乾隆12年01月26日</v>
      </c>
      <c r="J3" s="1" t="str">
        <f>"楊錫紱"</f>
        <v>楊錫紱</v>
      </c>
      <c r="K3" s="1" t="str">
        <f>"湖南巡撫"</f>
        <v>湖南巡撫</v>
      </c>
      <c r="L3" s="1" t="str">
        <f>"https://qingarchives.npm.edu.tw/index.php?act=Opendata/npmiiif/K4E000111"</f>
        <v>https://qingarchives.npm.edu.tw/index.php?act=Opendata/npmiiif/K4E000111</v>
      </c>
    </row>
    <row r="4" spans="1:12" s="1" customFormat="1" x14ac:dyDescent="0.2">
      <c r="A4" s="1">
        <v>3</v>
      </c>
      <c r="B4" s="1" t="str">
        <f t="shared" si="0"/>
        <v>件</v>
      </c>
      <c r="C4" s="1" t="str">
        <f>"K4E000081"</f>
        <v>K4E000081</v>
      </c>
      <c r="D4" s="1" t="str">
        <f>"故機000081"</f>
        <v>故機000081</v>
      </c>
      <c r="E4" s="1" t="str">
        <f>"000081"</f>
        <v>000081</v>
      </c>
      <c r="F4" s="1" t="str">
        <f t="shared" si="1"/>
        <v>軍機處檔摺件/乾隆朝</v>
      </c>
      <c r="G4" s="1" t="str">
        <f t="shared" si="2"/>
        <v/>
      </c>
      <c r="H4" s="1" t="str">
        <f>"奏為歸德府屬永城等縣連年被水米價昂貴請撥各屬倉穀以資接濟由"</f>
        <v>奏為歸德府屬永城等縣連年被水米價昂貴請撥各屬倉穀以資接濟由</v>
      </c>
      <c r="I4" s="1" t="str">
        <f>"乾隆12年02月03日"</f>
        <v>乾隆12年02月03日</v>
      </c>
      <c r="J4" s="1" t="str">
        <f>"碩色"</f>
        <v>碩色</v>
      </c>
      <c r="K4" s="1" t="str">
        <f>"河南巡撫"</f>
        <v>河南巡撫</v>
      </c>
      <c r="L4" s="1" t="str">
        <f>"https://qingarchives.npm.edu.tw/index.php?act=Opendata/npmiiif/K4E000081"</f>
        <v>https://qingarchives.npm.edu.tw/index.php?act=Opendata/npmiiif/K4E000081</v>
      </c>
    </row>
    <row r="5" spans="1:12" s="1" customFormat="1" x14ac:dyDescent="0.2">
      <c r="A5" s="1">
        <v>4</v>
      </c>
      <c r="B5" s="1" t="str">
        <f t="shared" si="0"/>
        <v>件</v>
      </c>
      <c r="C5" s="1" t="str">
        <f>"K4E000093"</f>
        <v>K4E000093</v>
      </c>
      <c r="D5" s="1" t="str">
        <f>"故機000093"</f>
        <v>故機000093</v>
      </c>
      <c r="E5" s="1" t="str">
        <f>"000093"</f>
        <v>000093</v>
      </c>
      <c r="F5" s="1" t="str">
        <f t="shared" si="1"/>
        <v>軍機處檔摺件/乾隆朝</v>
      </c>
      <c r="G5" s="1" t="str">
        <f t="shared" si="2"/>
        <v/>
      </c>
      <c r="H5" s="1" t="str">
        <f>"交城陽城等五州縣出產銅鉛前撫臣開採礦苗不旺冬季停工現屆開工之期據司道會詳查勘尚未明悉請展緩三月動工"</f>
        <v>交城陽城等五州縣出產銅鉛前撫臣開採礦苗不旺冬季停工現屆開工之期據司道會詳查勘尚未明悉請展緩三月動工</v>
      </c>
      <c r="I5" s="1" t="str">
        <f>"乾隆12年02月07日"</f>
        <v>乾隆12年02月07日</v>
      </c>
      <c r="J5" s="1" t="str">
        <f>"愛必達"</f>
        <v>愛必達</v>
      </c>
      <c r="K5" s="1" t="str">
        <f>"山西巡撫"</f>
        <v>山西巡撫</v>
      </c>
      <c r="L5" s="1" t="str">
        <f>"https://qingarchives.npm.edu.tw/index.php?act=Opendata/npmiiif/K4E000093"</f>
        <v>https://qingarchives.npm.edu.tw/index.php?act=Opendata/npmiiif/K4E000093</v>
      </c>
    </row>
    <row r="6" spans="1:12" s="1" customFormat="1" x14ac:dyDescent="0.2">
      <c r="A6" s="1">
        <v>5</v>
      </c>
      <c r="B6" s="1" t="str">
        <f t="shared" si="0"/>
        <v>件</v>
      </c>
      <c r="C6" s="1" t="str">
        <f>"K4E000222"</f>
        <v>K4E000222</v>
      </c>
      <c r="D6" s="1" t="str">
        <f>"故機000222"</f>
        <v>故機000222</v>
      </c>
      <c r="E6" s="1" t="str">
        <f>"000222"</f>
        <v>000222</v>
      </c>
      <c r="F6" s="1" t="str">
        <f t="shared" si="1"/>
        <v>軍機處檔摺件/乾隆朝</v>
      </c>
      <c r="G6" s="1" t="str">
        <f t="shared" si="2"/>
        <v/>
      </c>
      <c r="H6" s="1" t="str">
        <f>"覆奏核減徽郡等處城工銀兩"</f>
        <v>覆奏核減徽郡等處城工銀兩</v>
      </c>
      <c r="I6" s="1" t="str">
        <f>"乾隆12年02月28日"</f>
        <v>乾隆12年02月28日</v>
      </c>
      <c r="J6" s="1" t="str">
        <f>"潘思榘"</f>
        <v>潘思榘</v>
      </c>
      <c r="K6" s="1" t="str">
        <f>"安徽巡撫"</f>
        <v>安徽巡撫</v>
      </c>
      <c r="L6" s="1" t="str">
        <f>"https://qingarchives.npm.edu.tw/index.php?act=Opendata/npmiiif/K4E000222"</f>
        <v>https://qingarchives.npm.edu.tw/index.php?act=Opendata/npmiiif/K4E000222</v>
      </c>
    </row>
    <row r="7" spans="1:12" s="1" customFormat="1" x14ac:dyDescent="0.2">
      <c r="A7" s="1">
        <v>6</v>
      </c>
      <c r="B7" s="1" t="str">
        <f t="shared" si="0"/>
        <v>件</v>
      </c>
      <c r="C7" s="1" t="str">
        <f>"K4E000202"</f>
        <v>K4E000202</v>
      </c>
      <c r="D7" s="1" t="str">
        <f>"故機000202"</f>
        <v>故機000202</v>
      </c>
      <c r="E7" s="1" t="str">
        <f>"000202"</f>
        <v>000202</v>
      </c>
      <c r="F7" s="1" t="str">
        <f t="shared" si="1"/>
        <v>軍機處檔摺件/乾隆朝</v>
      </c>
      <c r="G7" s="1" t="str">
        <f t="shared" si="2"/>
        <v/>
      </c>
      <c r="H7" s="1" t="str">
        <f>"奏濟南省城得雨情形"</f>
        <v>奏濟南省城得雨情形</v>
      </c>
      <c r="I7" s="1" t="str">
        <f>"乾隆12年03月02日"</f>
        <v>乾隆12年03月02日</v>
      </c>
      <c r="J7" s="1" t="str">
        <f>"阿里袞"</f>
        <v>阿里袞</v>
      </c>
      <c r="K7" s="1" t="str">
        <f>""</f>
        <v/>
      </c>
      <c r="L7" s="1" t="str">
        <f>"https://qingarchives.npm.edu.tw/index.php?act=Opendata/npmiiif/K4E000202"</f>
        <v>https://qingarchives.npm.edu.tw/index.php?act=Opendata/npmiiif/K4E000202</v>
      </c>
    </row>
    <row r="8" spans="1:12" s="1" customFormat="1" x14ac:dyDescent="0.2">
      <c r="A8" s="1">
        <v>7</v>
      </c>
      <c r="B8" s="1" t="str">
        <f t="shared" si="0"/>
        <v>件</v>
      </c>
      <c r="C8" s="1" t="str">
        <f>"K4E000240"</f>
        <v>K4E000240</v>
      </c>
      <c r="D8" s="1" t="str">
        <f>"故機000240"</f>
        <v>故機000240</v>
      </c>
      <c r="E8" s="1" t="str">
        <f>"000240"</f>
        <v>000240</v>
      </c>
      <c r="F8" s="1" t="str">
        <f t="shared" si="1"/>
        <v>軍機處檔摺件/乾隆朝</v>
      </c>
      <c r="G8" s="1" t="str">
        <f t="shared" si="2"/>
        <v/>
      </c>
      <c r="H8" s="1" t="str">
        <f>"永城等縣請加賑"</f>
        <v>永城等縣請加賑</v>
      </c>
      <c r="I8" s="1" t="str">
        <f>"乾隆12年03月05日"</f>
        <v>乾隆12年03月05日</v>
      </c>
      <c r="J8" s="1" t="str">
        <f>"碩色"</f>
        <v>碩色</v>
      </c>
      <c r="K8" s="1" t="str">
        <f>"河南巡撫"</f>
        <v>河南巡撫</v>
      </c>
      <c r="L8" s="1" t="str">
        <f>"https://qingarchives.npm.edu.tw/index.php?act=Opendata/npmiiif/K4E000240"</f>
        <v>https://qingarchives.npm.edu.tw/index.php?act=Opendata/npmiiif/K4E000240</v>
      </c>
    </row>
    <row r="9" spans="1:12" s="1" customFormat="1" x14ac:dyDescent="0.2">
      <c r="A9" s="1">
        <v>8</v>
      </c>
      <c r="B9" s="1" t="str">
        <f t="shared" si="0"/>
        <v>件</v>
      </c>
      <c r="C9" s="1" t="str">
        <f>"K4E000244"</f>
        <v>K4E000244</v>
      </c>
      <c r="D9" s="1" t="str">
        <f>"故機000244"</f>
        <v>故機000244</v>
      </c>
      <c r="E9" s="1" t="str">
        <f>"000244"</f>
        <v>000244</v>
      </c>
      <c r="F9" s="1" t="str">
        <f t="shared" si="1"/>
        <v>軍機處檔摺件/乾隆朝</v>
      </c>
      <c r="G9" s="1" t="str">
        <f t="shared" si="2"/>
        <v/>
      </c>
      <c r="H9" s="1" t="str">
        <f>"風聞山西萬泉縣刁棍聚集多人圍城燬屋不知該道府等如何安輯抑或諱匿由(原摺)"</f>
        <v>風聞山西萬泉縣刁棍聚集多人圍城燬屋不知該道府等如何安輯抑或諱匿由(原摺)</v>
      </c>
      <c r="I9" s="1" t="str">
        <f>"乾隆12年03月12日"</f>
        <v>乾隆12年03月12日</v>
      </c>
      <c r="J9" s="1" t="str">
        <f>"張孝挰"</f>
        <v>張孝挰</v>
      </c>
      <c r="K9" s="1" t="str">
        <f>"協理江南道事四川道監察御史"</f>
        <v>協理江南道事四川道監察御史</v>
      </c>
      <c r="L9" s="1" t="str">
        <f>"https://qingarchives.npm.edu.tw/index.php?act=Opendata/npmiiif/K4E000244"</f>
        <v>https://qingarchives.npm.edu.tw/index.php?act=Opendata/npmiiif/K4E000244</v>
      </c>
    </row>
    <row r="10" spans="1:12" s="1" customFormat="1" x14ac:dyDescent="0.2">
      <c r="A10" s="1">
        <v>9</v>
      </c>
      <c r="B10" s="1" t="str">
        <f t="shared" si="0"/>
        <v>件</v>
      </c>
      <c r="C10" s="1" t="str">
        <f>"K4E000417"</f>
        <v>K4E000417</v>
      </c>
      <c r="D10" s="1" t="str">
        <f>"故機000417"</f>
        <v>故機000417</v>
      </c>
      <c r="E10" s="1" t="str">
        <f>"000417"</f>
        <v>000417</v>
      </c>
      <c r="F10" s="1" t="str">
        <f t="shared" si="1"/>
        <v>軍機處檔摺件/乾隆朝</v>
      </c>
      <c r="G10" s="1" t="str">
        <f t="shared" si="2"/>
        <v/>
      </c>
      <c r="H10" s="1" t="str">
        <f>"奏為覆奏脩葺直隸定州城垣由"</f>
        <v>奏為覆奏脩葺直隸定州城垣由</v>
      </c>
      <c r="I10" s="1" t="str">
        <f>"乾隆12年03月24日"</f>
        <v>乾隆12年03月24日</v>
      </c>
      <c r="J10" s="1" t="str">
        <f>"陳弘謀"</f>
        <v>陳弘謀</v>
      </c>
      <c r="K10" s="1" t="str">
        <f>"湖北巡撫"</f>
        <v>湖北巡撫</v>
      </c>
      <c r="L10" s="1" t="str">
        <f>"https://qingarchives.npm.edu.tw/index.php?act=Opendata/npmiiif/K4E000417"</f>
        <v>https://qingarchives.npm.edu.tw/index.php?act=Opendata/npmiiif/K4E000417</v>
      </c>
    </row>
    <row r="11" spans="1:12" s="1" customFormat="1" x14ac:dyDescent="0.2">
      <c r="A11" s="1">
        <v>10</v>
      </c>
      <c r="B11" s="1" t="str">
        <f t="shared" si="0"/>
        <v>件</v>
      </c>
      <c r="C11" s="1" t="str">
        <f>"K4E000350"</f>
        <v>K4E000350</v>
      </c>
      <c r="D11" s="1" t="str">
        <f>"故機000350"</f>
        <v>故機000350</v>
      </c>
      <c r="E11" s="1" t="str">
        <f>"000350"</f>
        <v>000350</v>
      </c>
      <c r="F11" s="1" t="str">
        <f t="shared" si="1"/>
        <v>軍機處檔摺件/乾隆朝</v>
      </c>
      <c r="G11" s="1" t="str">
        <f t="shared" si="2"/>
        <v/>
      </c>
      <c r="H11" s="1" t="str">
        <f>"奏為保定郡城及各屬得雨分寸日期由"</f>
        <v>奏為保定郡城及各屬得雨分寸日期由</v>
      </c>
      <c r="I11" s="1" t="str">
        <f>"乾隆12年04月02日"</f>
        <v>乾隆12年04月02日</v>
      </c>
      <c r="J11" s="1" t="str">
        <f>"那蘇圖"</f>
        <v>那蘇圖</v>
      </c>
      <c r="K11" s="1" t="str">
        <f>"直隸總督"</f>
        <v>直隸總督</v>
      </c>
      <c r="L11" s="1" t="str">
        <f>"https://qingarchives.npm.edu.tw/index.php?act=Opendata/npmiiif/K4E000350"</f>
        <v>https://qingarchives.npm.edu.tw/index.php?act=Opendata/npmiiif/K4E000350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Yating Guo</dc:creator>
  <cp:lastModifiedBy>Yating Guo</cp:lastModifiedBy>
  <dcterms:created xsi:type="dcterms:W3CDTF">2026-08-02T17:29:59Z</dcterms:created>
  <dcterms:modified xsi:type="dcterms:W3CDTF">2026-08-02T17:30:26Z</dcterms:modified>
</cp:coreProperties>
</file>